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tura de proyec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<sst xmlns="http://schemas.openxmlformats.org/spreadsheetml/2006/main" count="41" uniqueCount="40">
  <si>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ALMACENES SANTA ROSA — Proyección de productores · Ciclo 26-27</t>
  </si>
  <si>
    <t xml:space="preserve">Comisionista:</t>
  </si>
  <si>
    <t xml:space="preserve">(escribe aquí tu nombre)</t>
  </si>
  <si>
    <t xml:space="preserve">Instrucciones: una fila por productor (nuevos y recurrentes). Llena las columnas en AZUL; 'Volumen' se calcula solo. Fecha límite de entrega: ____________.</t>
  </si>
  <si>
    <t xml:space="preserve">NOTA — Productores de COBERTURA FIRA: si el productor NO necesita financiamiento pero quiere entrar por el programa de cobertura de FIRA, captúralo igual: Unidad de negocio = Directo y Esquema = 'Cobertura FIRA (sin financiamiento)'. Deja el financiamiento en 0.</t>
  </si>
  <si>
    <t xml:space="preserve">Comisionista</t>
  </si>
  <si>
    <t xml:space="preserve">Productor / razón social</t>
  </si>
  <si>
    <t xml:space="preserve">Unidad de negocio</t>
  </si>
  <si>
    <t xml:space="preserve">Esquema / servicio</t>
  </si>
  <si>
    <t xml:space="preserve">Nuevo / Recurrente</t>
  </si>
  <si>
    <t xml:space="preserve">Zona / Municipio</t>
  </si>
  <si>
    <t xml:space="preserve">Cultivo</t>
  </si>
  <si>
    <t xml:space="preserve">Hectáreas</t>
  </si>
  <si>
    <t xml:space="preserve">Rend. est. (ton/ha)</t>
  </si>
  <si>
    <t xml:space="preserve">Volumen est. (ton)</t>
  </si>
  <si>
    <t xml:space="preserve">Financiamiento est. ($)</t>
  </si>
  <si>
    <t xml:space="preserve">Teléfono</t>
  </si>
  <si>
    <t xml:space="preserve">Etapa actual</t>
  </si>
  <si>
    <t xml:space="preserve">¿Qué falta para habilitarlo / entrar?</t>
  </si>
  <si>
    <t xml:space="preserve">Notas / próximo paso</t>
  </si>
  <si>
    <t xml:space="preserve">Agrícola El Roble (ejemplo)</t>
  </si>
  <si>
    <t xml:space="preserve">Parafinanciero</t>
  </si>
  <si>
    <t xml:space="preserve">Financiamiento (habilitación)</t>
  </si>
  <si>
    <t xml:space="preserve">Recurrente</t>
  </si>
  <si>
    <t xml:space="preserve">Guasave</t>
  </si>
  <si>
    <t xml:space="preserve">Maíz blanco</t>
  </si>
  <si>
    <t xml:space="preserve">6871234567</t>
  </si>
  <si>
    <t xml:space="preserve">En evaluación</t>
  </si>
  <si>
    <t xml:space="preserve">Falta validar garantía</t>
  </si>
  <si>
    <t xml:space="preserve">Visitarlo el jueves</t>
  </si>
  <si>
    <t xml:space="preserve">Don Ramón Payán (ejemplo cobertura)</t>
  </si>
  <si>
    <t xml:space="preserve">Directo</t>
  </si>
  <si>
    <t xml:space="preserve">Cobertura FIRA (sin financiamiento)</t>
  </si>
  <si>
    <t xml:space="preserve">Nuevo</t>
  </si>
  <si>
    <t xml:space="preserve">Ahome</t>
  </si>
  <si>
    <t xml:space="preserve">6689988776</t>
  </si>
  <si>
    <t xml:space="preserve">Prospecto</t>
  </si>
  <si>
    <t xml:space="preserve">Reunir docs para inscribir cobertura</t>
  </si>
  <si>
    <t xml:space="preserve">No requiere habilitación</t>
  </si>
  <si>
    <t xml:space="preserve">TOTALES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</si>
</sst>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332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E699"/>
        <bgColor rgb="FFFFF2CC"/>
      </patternFill>
    </fill>
    <fill>
      <patternFill patternType="solid">
        <fgColor rgb="FFFFF2CC"/>
        <bgColor rgb="FFFFE699"/>
      </patternFill>
    </fill>
    <fill>
      <patternFill patternType="solid">
        <fgColor rgb="FF1B4332"/>
        <bgColor rgb="FF333300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24"/>
    <col collapsed="false" customWidth="true" hidden="false" outlineLevel="0" max="15" min="15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3" t="s">
        <v>2</v>
      </c>
      <c r="C2" s="3"/>
      <c r="D2" s="3"/>
    </row>
    <row r="3" customFormat="false" ht="15" hidden="false" customHeight="false" outlineLevel="0" collapsed="false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7.75" hidden="false" customHeight="true" outlineLevel="0" collapsed="false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6" customFormat="false" ht="30" hidden="false" customHeight="tru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18</v>
      </c>
      <c r="O6" s="6" t="s">
        <v>19</v>
      </c>
    </row>
    <row r="7" customFormat="false" ht="28.35" hidden="false" customHeight="false" outlineLevel="0" collapsed="false">
      <c r="A7" s="7" t="str">
        <f aca="false">IF(B7&lt;&gt;"",$B$2,"")</f>
        <v>(escribe aquí tu nombre)</v>
      </c>
      <c r="B7" s="8" t="s">
        <v>20</v>
      </c>
      <c r="C7" s="8" t="s">
        <v>21</v>
      </c>
      <c r="D7" s="8" t="s">
        <v>22</v>
      </c>
      <c r="E7" s="9" t="s">
        <v>23</v>
      </c>
      <c r="F7" s="8" t="s">
        <v>24</v>
      </c>
      <c r="G7" s="9" t="s">
        <v>25</v>
      </c>
      <c r="H7" s="10" t="n">
        <v>250</v>
      </c>
      <c r="I7" s="11" t="n">
        <v>12</v>
      </c>
      <c r="J7" s="10" t="n">
        <f aca="false">IF(AND(H7&lt;&gt;"",I7&lt;&gt;""),H7*I7,"")</f>
        <v>3000</v>
      </c>
      <c r="K7" s="12" t="n">
        <v>8750000</v>
      </c>
      <c r="L7" s="7" t="s">
        <v>26</v>
      </c>
      <c r="M7" s="8" t="s">
        <v>27</v>
      </c>
      <c r="N7" s="8" t="s">
        <v>28</v>
      </c>
      <c r="O7" s="8" t="s">
        <v>29</v>
      </c>
    </row>
    <row r="8" customFormat="false" ht="28.35" hidden="false" customHeight="false" outlineLevel="0" collapsed="false">
      <c r="A8" s="7" t="str">
        <f aca="false">IF(B8&lt;&gt;"",$B$2,"")</f>
        <v>(escribe aquí tu nombre)</v>
      </c>
      <c r="B8" s="8" t="s">
        <v>30</v>
      </c>
      <c r="C8" s="8" t="s">
        <v>31</v>
      </c>
      <c r="D8" s="8" t="s">
        <v>32</v>
      </c>
      <c r="E8" s="9" t="s">
        <v>33</v>
      </c>
      <c r="F8" s="8" t="s">
        <v>34</v>
      </c>
      <c r="G8" s="9" t="s">
        <v>25</v>
      </c>
      <c r="H8" s="10" t="n">
        <v>180</v>
      </c>
      <c r="I8" s="11" t="n">
        <v>13</v>
      </c>
      <c r="J8" s="10" t="n">
        <f aca="false">IF(AND(H8&lt;&gt;"",I8&lt;&gt;""),H8*I8,"")</f>
        <v>2340</v>
      </c>
      <c r="K8" s="12" t="n">
        <v>0</v>
      </c>
      <c r="L8" s="7" t="s">
        <v>35</v>
      </c>
      <c r="M8" s="8" t="s">
        <v>36</v>
      </c>
      <c r="N8" s="8" t="s">
        <v>37</v>
      </c>
      <c r="O8" s="8" t="s">
        <v>38</v>
      </c>
    </row>
    <row r="9" customFormat="false" ht="15" hidden="false" customHeight="false" outlineLevel="0" collapsed="false">
      <c r="A9" s="13" t="str">
        <f aca="false">IF(B9&lt;&gt;"",$B$2,"")</f>
        <v/>
      </c>
      <c r="B9" s="14"/>
      <c r="C9" s="14"/>
      <c r="D9" s="14"/>
      <c r="E9" s="15"/>
      <c r="F9" s="14"/>
      <c r="G9" s="15"/>
      <c r="H9" s="16"/>
      <c r="I9" s="17"/>
      <c r="J9" s="18" t="str">
        <f aca="false">IF(AND(H9&lt;&gt;"",I9&lt;&gt;""),H9*I9,"")</f>
        <v/>
      </c>
      <c r="K9" s="19"/>
      <c r="L9" s="15"/>
      <c r="M9" s="14"/>
      <c r="N9" s="14"/>
      <c r="O9" s="14"/>
    </row>
    <row r="10" customFormat="false" ht="15" hidden="false" customHeight="false" outlineLevel="0" collapsed="false">
      <c r="A10" s="13" t="str">
        <f aca="false">IF(B10&lt;&gt;"",$B$2,"")</f>
        <v/>
      </c>
      <c r="B10" s="14"/>
      <c r="C10" s="14"/>
      <c r="D10" s="14"/>
      <c r="E10" s="15"/>
      <c r="F10" s="14"/>
      <c r="G10" s="15"/>
      <c r="H10" s="16"/>
      <c r="I10" s="17"/>
      <c r="J10" s="18" t="str">
        <f aca="false">IF(AND(H10&lt;&gt;"",I10&lt;&gt;""),H10*I10,"")</f>
        <v/>
      </c>
      <c r="K10" s="19"/>
      <c r="L10" s="15"/>
      <c r="M10" s="14"/>
      <c r="N10" s="14"/>
      <c r="O10" s="14"/>
    </row>
    <row r="11" customFormat="false" ht="15" hidden="false" customHeight="false" outlineLevel="0" collapsed="false">
      <c r="A11" s="13" t="str">
        <f aca="false">IF(B11&lt;&gt;"",$B$2,"")</f>
        <v/>
      </c>
      <c r="B11" s="14"/>
      <c r="C11" s="14"/>
      <c r="D11" s="14"/>
      <c r="E11" s="15"/>
      <c r="F11" s="14"/>
      <c r="G11" s="15"/>
      <c r="H11" s="16"/>
      <c r="I11" s="17"/>
      <c r="J11" s="18" t="str">
        <f aca="false">IF(AND(H11&lt;&gt;"",I11&lt;&gt;""),H11*I11,"")</f>
        <v/>
      </c>
      <c r="K11" s="19"/>
      <c r="L11" s="15"/>
      <c r="M11" s="14"/>
      <c r="N11" s="14"/>
      <c r="O11" s="14"/>
    </row>
    <row r="12" customFormat="false" ht="15" hidden="false" customHeight="false" outlineLevel="0" collapsed="false">
      <c r="A12" s="13" t="str">
        <f aca="false">IF(B12&lt;&gt;"",$B$2,"")</f>
        <v/>
      </c>
      <c r="B12" s="14"/>
      <c r="C12" s="14"/>
      <c r="D12" s="14"/>
      <c r="E12" s="15"/>
      <c r="F12" s="14"/>
      <c r="G12" s="15"/>
      <c r="H12" s="16"/>
      <c r="I12" s="17"/>
      <c r="J12" s="18" t="str">
        <f aca="false">IF(AND(H12&lt;&gt;"",I12&lt;&gt;""),H12*I12,"")</f>
        <v/>
      </c>
      <c r="K12" s="19"/>
      <c r="L12" s="15"/>
      <c r="M12" s="14"/>
      <c r="N12" s="14"/>
      <c r="O12" s="14"/>
    </row>
    <row r="13" customFormat="false" ht="15" hidden="false" customHeight="false" outlineLevel="0" collapsed="false">
      <c r="A13" s="13" t="str">
        <f aca="false">IF(B13&lt;&gt;"",$B$2,"")</f>
        <v/>
      </c>
      <c r="B13" s="14"/>
      <c r="C13" s="14"/>
      <c r="D13" s="14"/>
      <c r="E13" s="15"/>
      <c r="F13" s="14"/>
      <c r="G13" s="15"/>
      <c r="H13" s="16"/>
      <c r="I13" s="17"/>
      <c r="J13" s="18" t="str">
        <f aca="false">IF(AND(H13&lt;&gt;"",I13&lt;&gt;""),H13*I13,"")</f>
        <v/>
      </c>
      <c r="K13" s="19"/>
      <c r="L13" s="15"/>
      <c r="M13" s="14"/>
      <c r="N13" s="14"/>
      <c r="O13" s="14"/>
    </row>
    <row r="14" customFormat="false" ht="15" hidden="false" customHeight="false" outlineLevel="0" collapsed="false">
      <c r="A14" s="13" t="str">
        <f aca="false">IF(B14&lt;&gt;"",$B$2,"")</f>
        <v/>
      </c>
      <c r="B14" s="14"/>
      <c r="C14" s="14"/>
      <c r="D14" s="14"/>
      <c r="E14" s="15"/>
      <c r="F14" s="14"/>
      <c r="G14" s="15"/>
      <c r="H14" s="16"/>
      <c r="I14" s="17"/>
      <c r="J14" s="18" t="str">
        <f aca="false">IF(AND(H14&lt;&gt;"",I14&lt;&gt;""),H14*I14,"")</f>
        <v/>
      </c>
      <c r="K14" s="19"/>
      <c r="L14" s="15"/>
      <c r="M14" s="14"/>
      <c r="N14" s="14"/>
      <c r="O14" s="14"/>
    </row>
    <row r="15" customFormat="false" ht="15" hidden="false" customHeight="false" outlineLevel="0" collapsed="false">
      <c r="A15" s="13" t="str">
        <f aca="false">IF(B15&lt;&gt;"",$B$2,"")</f>
        <v/>
      </c>
      <c r="B15" s="14"/>
      <c r="C15" s="14"/>
      <c r="D15" s="14"/>
      <c r="E15" s="15"/>
      <c r="F15" s="14"/>
      <c r="G15" s="15"/>
      <c r="H15" s="16"/>
      <c r="I15" s="17"/>
      <c r="J15" s="18" t="str">
        <f aca="false">IF(AND(H15&lt;&gt;"",I15&lt;&gt;""),H15*I15,"")</f>
        <v/>
      </c>
      <c r="K15" s="19"/>
      <c r="L15" s="15"/>
      <c r="M15" s="14"/>
      <c r="N15" s="14"/>
      <c r="O15" s="14"/>
    </row>
    <row r="16" customFormat="false" ht="15" hidden="false" customHeight="false" outlineLevel="0" collapsed="false">
      <c r="A16" s="13" t="str">
        <f aca="false">IF(B16&lt;&gt;"",$B$2,"")</f>
        <v/>
      </c>
      <c r="B16" s="14"/>
      <c r="C16" s="14"/>
      <c r="D16" s="14"/>
      <c r="E16" s="15"/>
      <c r="F16" s="14"/>
      <c r="G16" s="15"/>
      <c r="H16" s="16"/>
      <c r="I16" s="17"/>
      <c r="J16" s="18" t="str">
        <f aca="false">IF(AND(H16&lt;&gt;"",I16&lt;&gt;""),H16*I16,"")</f>
        <v/>
      </c>
      <c r="K16" s="19"/>
      <c r="L16" s="15"/>
      <c r="M16" s="14"/>
      <c r="N16" s="14"/>
      <c r="O16" s="14"/>
    </row>
    <row r="17" customFormat="false" ht="15" hidden="false" customHeight="false" outlineLevel="0" collapsed="false">
      <c r="A17" s="13" t="str">
        <f aca="false">IF(B17&lt;&gt;"",$B$2,"")</f>
        <v/>
      </c>
      <c r="B17" s="14"/>
      <c r="C17" s="14"/>
      <c r="D17" s="14"/>
      <c r="E17" s="15"/>
      <c r="F17" s="14"/>
      <c r="G17" s="15"/>
      <c r="H17" s="16"/>
      <c r="I17" s="17"/>
      <c r="J17" s="18" t="str">
        <f aca="false">IF(AND(H17&lt;&gt;"",I17&lt;&gt;""),H17*I17,"")</f>
        <v/>
      </c>
      <c r="K17" s="19"/>
      <c r="L17" s="15"/>
      <c r="M17" s="14"/>
      <c r="N17" s="14"/>
      <c r="O17" s="14"/>
    </row>
    <row r="18" customFormat="false" ht="15" hidden="false" customHeight="false" outlineLevel="0" collapsed="false">
      <c r="A18" s="13" t="str">
        <f aca="false">IF(B18&lt;&gt;"",$B$2,"")</f>
        <v/>
      </c>
      <c r="B18" s="14"/>
      <c r="C18" s="14"/>
      <c r="D18" s="14"/>
      <c r="E18" s="15"/>
      <c r="F18" s="14"/>
      <c r="G18" s="15"/>
      <c r="H18" s="16"/>
      <c r="I18" s="17"/>
      <c r="J18" s="18" t="str">
        <f aca="false">IF(AND(H18&lt;&gt;"",I18&lt;&gt;""),H18*I18,"")</f>
        <v/>
      </c>
      <c r="K18" s="19"/>
      <c r="L18" s="15"/>
      <c r="M18" s="14"/>
      <c r="N18" s="14"/>
      <c r="O18" s="14"/>
    </row>
    <row r="19" customFormat="false" ht="15" hidden="false" customHeight="false" outlineLevel="0" collapsed="false">
      <c r="A19" s="13" t="str">
        <f aca="false">IF(B19&lt;&gt;"",$B$2,"")</f>
        <v/>
      </c>
      <c r="B19" s="14"/>
      <c r="C19" s="14"/>
      <c r="D19" s="14"/>
      <c r="E19" s="15"/>
      <c r="F19" s="14"/>
      <c r="G19" s="15"/>
      <c r="H19" s="16"/>
      <c r="I19" s="17"/>
      <c r="J19" s="18" t="str">
        <f aca="false">IF(AND(H19&lt;&gt;"",I19&lt;&gt;""),H19*I19,"")</f>
        <v/>
      </c>
      <c r="K19" s="19"/>
      <c r="L19" s="15"/>
      <c r="M19" s="14"/>
      <c r="N19" s="14"/>
      <c r="O19" s="14"/>
    </row>
    <row r="20" customFormat="false" ht="15" hidden="false" customHeight="false" outlineLevel="0" collapsed="false">
      <c r="A20" s="13" t="str">
        <f aca="false">IF(B20&lt;&gt;"",$B$2,"")</f>
        <v/>
      </c>
      <c r="B20" s="14"/>
      <c r="C20" s="14"/>
      <c r="D20" s="14"/>
      <c r="E20" s="15"/>
      <c r="F20" s="14"/>
      <c r="G20" s="15"/>
      <c r="H20" s="16"/>
      <c r="I20" s="17"/>
      <c r="J20" s="18" t="str">
        <f aca="false">IF(AND(H20&lt;&gt;"",I20&lt;&gt;""),H20*I20,"")</f>
        <v/>
      </c>
      <c r="K20" s="19"/>
      <c r="L20" s="15"/>
      <c r="M20" s="14"/>
      <c r="N20" s="14"/>
      <c r="O20" s="14"/>
    </row>
    <row r="21" customFormat="false" ht="15" hidden="false" customHeight="false" outlineLevel="0" collapsed="false">
      <c r="A21" s="13" t="str">
        <f aca="false">IF(B21&lt;&gt;"",$B$2,"")</f>
        <v/>
      </c>
      <c r="B21" s="14"/>
      <c r="C21" s="14"/>
      <c r="D21" s="14"/>
      <c r="E21" s="15"/>
      <c r="F21" s="14"/>
      <c r="G21" s="15"/>
      <c r="H21" s="16"/>
      <c r="I21" s="17"/>
      <c r="J21" s="18" t="str">
        <f aca="false">IF(AND(H21&lt;&gt;"",I21&lt;&gt;""),H21*I21,"")</f>
        <v/>
      </c>
      <c r="K21" s="19"/>
      <c r="L21" s="15"/>
      <c r="M21" s="14"/>
      <c r="N21" s="14"/>
      <c r="O21" s="14"/>
    </row>
    <row r="22" customFormat="false" ht="15" hidden="false" customHeight="false" outlineLevel="0" collapsed="false">
      <c r="A22" s="13" t="str">
        <f aca="false">IF(B22&lt;&gt;"",$B$2,"")</f>
        <v/>
      </c>
      <c r="B22" s="14"/>
      <c r="C22" s="14"/>
      <c r="D22" s="14"/>
      <c r="E22" s="15"/>
      <c r="F22" s="14"/>
      <c r="G22" s="15"/>
      <c r="H22" s="16"/>
      <c r="I22" s="17"/>
      <c r="J22" s="18" t="str">
        <f aca="false">IF(AND(H22&lt;&gt;"",I22&lt;&gt;""),H22*I22,"")</f>
        <v/>
      </c>
      <c r="K22" s="19"/>
      <c r="L22" s="15"/>
      <c r="M22" s="14"/>
      <c r="N22" s="14"/>
      <c r="O22" s="14"/>
    </row>
    <row r="23" customFormat="false" ht="15" hidden="false" customHeight="false" outlineLevel="0" collapsed="false">
      <c r="A23" s="13" t="str">
        <f aca="false">IF(B23&lt;&gt;"",$B$2,"")</f>
        <v/>
      </c>
      <c r="B23" s="14"/>
      <c r="C23" s="14"/>
      <c r="D23" s="14"/>
      <c r="E23" s="15"/>
      <c r="F23" s="14"/>
      <c r="G23" s="15"/>
      <c r="H23" s="16"/>
      <c r="I23" s="17"/>
      <c r="J23" s="18" t="str">
        <f aca="false">IF(AND(H23&lt;&gt;"",I23&lt;&gt;""),H23*I23,"")</f>
        <v/>
      </c>
      <c r="K23" s="19"/>
      <c r="L23" s="15"/>
      <c r="M23" s="14"/>
      <c r="N23" s="14"/>
      <c r="O23" s="14"/>
    </row>
    <row r="24" customFormat="false" ht="15" hidden="false" customHeight="false" outlineLevel="0" collapsed="false">
      <c r="A24" s="13" t="str">
        <f aca="false">IF(B24&lt;&gt;"",$B$2,"")</f>
        <v/>
      </c>
      <c r="B24" s="14"/>
      <c r="C24" s="14"/>
      <c r="D24" s="14"/>
      <c r="E24" s="15"/>
      <c r="F24" s="14"/>
      <c r="G24" s="15"/>
      <c r="H24" s="16"/>
      <c r="I24" s="17"/>
      <c r="J24" s="18" t="str">
        <f aca="false">IF(AND(H24&lt;&gt;"",I24&lt;&gt;""),H24*I24,"")</f>
        <v/>
      </c>
      <c r="K24" s="19"/>
      <c r="L24" s="15"/>
      <c r="M24" s="14"/>
      <c r="N24" s="14"/>
      <c r="O24" s="14"/>
    </row>
    <row r="25" customFormat="false" ht="15" hidden="false" customHeight="false" outlineLevel="0" collapsed="false">
      <c r="A25" s="13" t="str">
        <f aca="false">IF(B25&lt;&gt;"",$B$2,"")</f>
        <v/>
      </c>
      <c r="B25" s="14"/>
      <c r="C25" s="14"/>
      <c r="D25" s="14"/>
      <c r="E25" s="15"/>
      <c r="F25" s="14"/>
      <c r="G25" s="15"/>
      <c r="H25" s="16"/>
      <c r="I25" s="17"/>
      <c r="J25" s="18" t="str">
        <f aca="false">IF(AND(H25&lt;&gt;"",I25&lt;&gt;""),H25*I25,"")</f>
        <v/>
      </c>
      <c r="K25" s="19"/>
      <c r="L25" s="15"/>
      <c r="M25" s="14"/>
      <c r="N25" s="14"/>
      <c r="O25" s="14"/>
    </row>
    <row r="26" customFormat="false" ht="15" hidden="false" customHeight="false" outlineLevel="0" collapsed="false">
      <c r="A26" s="13" t="str">
        <f aca="false">IF(B26&lt;&gt;"",$B$2,"")</f>
        <v/>
      </c>
      <c r="B26" s="14"/>
      <c r="C26" s="14"/>
      <c r="D26" s="14"/>
      <c r="E26" s="15"/>
      <c r="F26" s="14"/>
      <c r="G26" s="15"/>
      <c r="H26" s="16"/>
      <c r="I26" s="17"/>
      <c r="J26" s="18" t="str">
        <f aca="false">IF(AND(H26&lt;&gt;"",I26&lt;&gt;""),H26*I26,"")</f>
        <v/>
      </c>
      <c r="K26" s="19"/>
      <c r="L26" s="15"/>
      <c r="M26" s="14"/>
      <c r="N26" s="14"/>
      <c r="O26" s="14"/>
    </row>
    <row r="27" customFormat="false" ht="15" hidden="false" customHeight="false" outlineLevel="0" collapsed="false">
      <c r="A27" s="13" t="str">
        <f aca="false">IF(B27&lt;&gt;"",$B$2,"")</f>
        <v/>
      </c>
      <c r="B27" s="14"/>
      <c r="C27" s="14"/>
      <c r="D27" s="14"/>
      <c r="E27" s="15"/>
      <c r="F27" s="14"/>
      <c r="G27" s="15"/>
      <c r="H27" s="16"/>
      <c r="I27" s="17"/>
      <c r="J27" s="18" t="str">
        <f aca="false">IF(AND(H27&lt;&gt;"",I27&lt;&gt;""),H27*I27,"")</f>
        <v/>
      </c>
      <c r="K27" s="19"/>
      <c r="L27" s="15"/>
      <c r="M27" s="14"/>
      <c r="N27" s="14"/>
      <c r="O27" s="14"/>
    </row>
    <row r="28" customFormat="false" ht="15" hidden="false" customHeight="false" outlineLevel="0" collapsed="false">
      <c r="A28" s="13" t="str">
        <f aca="false">IF(B28&lt;&gt;"",$B$2,"")</f>
        <v/>
      </c>
      <c r="B28" s="14"/>
      <c r="C28" s="14"/>
      <c r="D28" s="14"/>
      <c r="E28" s="15"/>
      <c r="F28" s="14"/>
      <c r="G28" s="15"/>
      <c r="H28" s="16"/>
      <c r="I28" s="17"/>
      <c r="J28" s="18" t="str">
        <f aca="false">IF(AND(H28&lt;&gt;"",I28&lt;&gt;""),H28*I28,"")</f>
        <v/>
      </c>
      <c r="K28" s="19"/>
      <c r="L28" s="15"/>
      <c r="M28" s="14"/>
      <c r="N28" s="14"/>
      <c r="O28" s="14"/>
    </row>
    <row r="29" customFormat="false" ht="15" hidden="false" customHeight="false" outlineLevel="0" collapsed="false">
      <c r="A29" s="13" t="str">
        <f aca="false">IF(B29&lt;&gt;"",$B$2,"")</f>
        <v/>
      </c>
      <c r="B29" s="14"/>
      <c r="C29" s="14"/>
      <c r="D29" s="14"/>
      <c r="E29" s="15"/>
      <c r="F29" s="14"/>
      <c r="G29" s="15"/>
      <c r="H29" s="16"/>
      <c r="I29" s="17"/>
      <c r="J29" s="18" t="str">
        <f aca="false">IF(AND(H29&lt;&gt;"",I29&lt;&gt;""),H29*I29,"")</f>
        <v/>
      </c>
      <c r="K29" s="19"/>
      <c r="L29" s="15"/>
      <c r="M29" s="14"/>
      <c r="N29" s="14"/>
      <c r="O29" s="14"/>
    </row>
    <row r="30" customFormat="false" ht="15" hidden="false" customHeight="false" outlineLevel="0" collapsed="false">
      <c r="A30" s="13" t="str">
        <f aca="false">IF(B30&lt;&gt;"",$B$2,"")</f>
        <v/>
      </c>
      <c r="B30" s="14"/>
      <c r="C30" s="14"/>
      <c r="D30" s="14"/>
      <c r="E30" s="15"/>
      <c r="F30" s="14"/>
      <c r="G30" s="15"/>
      <c r="H30" s="16"/>
      <c r="I30" s="17"/>
      <c r="J30" s="18" t="str">
        <f aca="false">IF(AND(H30&lt;&gt;"",I30&lt;&gt;""),H30*I30,"")</f>
        <v/>
      </c>
      <c r="K30" s="19"/>
      <c r="L30" s="15"/>
      <c r="M30" s="14"/>
      <c r="N30" s="14"/>
      <c r="O30" s="14"/>
    </row>
    <row r="31" customFormat="false" ht="15" hidden="false" customHeight="false" outlineLevel="0" collapsed="false">
      <c r="A31" s="13" t="str">
        <f aca="false">IF(B31&lt;&gt;"",$B$2,"")</f>
        <v/>
      </c>
      <c r="B31" s="14"/>
      <c r="C31" s="14"/>
      <c r="D31" s="14"/>
      <c r="E31" s="15"/>
      <c r="F31" s="14"/>
      <c r="G31" s="15"/>
      <c r="H31" s="16"/>
      <c r="I31" s="17"/>
      <c r="J31" s="18" t="str">
        <f aca="false">IF(AND(H31&lt;&gt;"",I31&lt;&gt;""),H31*I31,"")</f>
        <v/>
      </c>
      <c r="K31" s="19"/>
      <c r="L31" s="15"/>
      <c r="M31" s="14"/>
      <c r="N31" s="14"/>
      <c r="O31" s="14"/>
    </row>
    <row r="32" customFormat="false" ht="15" hidden="false" customHeight="false" outlineLevel="0" collapsed="false">
      <c r="A32" s="13" t="str">
        <f aca="false">IF(B32&lt;&gt;"",$B$2,"")</f>
        <v/>
      </c>
      <c r="B32" s="14"/>
      <c r="C32" s="14"/>
      <c r="D32" s="14"/>
      <c r="E32" s="15"/>
      <c r="F32" s="14"/>
      <c r="G32" s="15"/>
      <c r="H32" s="16"/>
      <c r="I32" s="17"/>
      <c r="J32" s="18" t="str">
        <f aca="false">IF(AND(H32&lt;&gt;"",I32&lt;&gt;""),H32*I32,"")</f>
        <v/>
      </c>
      <c r="K32" s="19"/>
      <c r="L32" s="15"/>
      <c r="M32" s="14"/>
      <c r="N32" s="14"/>
      <c r="O32" s="14"/>
    </row>
    <row r="33" customFormat="false" ht="15" hidden="false" customHeight="false" outlineLevel="0" collapsed="false">
      <c r="A33" s="13" t="str">
        <f aca="false">IF(B33&lt;&gt;"",$B$2,"")</f>
        <v/>
      </c>
      <c r="B33" s="14"/>
      <c r="C33" s="14"/>
      <c r="D33" s="14"/>
      <c r="E33" s="15"/>
      <c r="F33" s="14"/>
      <c r="G33" s="15"/>
      <c r="H33" s="16"/>
      <c r="I33" s="17"/>
      <c r="J33" s="18" t="str">
        <f aca="false">IF(AND(H33&lt;&gt;"",I33&lt;&gt;""),H33*I33,"")</f>
        <v/>
      </c>
      <c r="K33" s="19"/>
      <c r="L33" s="15"/>
      <c r="M33" s="14"/>
      <c r="N33" s="14"/>
      <c r="O33" s="14"/>
    </row>
    <row r="34" customFormat="false" ht="15" hidden="false" customHeight="false" outlineLevel="0" collapsed="false">
      <c r="A34" s="13" t="str">
        <f aca="false">IF(B34&lt;&gt;"",$B$2,"")</f>
        <v/>
      </c>
      <c r="B34" s="14"/>
      <c r="C34" s="14"/>
      <c r="D34" s="14"/>
      <c r="E34" s="15"/>
      <c r="F34" s="14"/>
      <c r="G34" s="15"/>
      <c r="H34" s="16"/>
      <c r="I34" s="17"/>
      <c r="J34" s="18" t="str">
        <f aca="false">IF(AND(H34&lt;&gt;"",I34&lt;&gt;""),H34*I34,"")</f>
        <v/>
      </c>
      <c r="K34" s="19"/>
      <c r="L34" s="15"/>
      <c r="M34" s="14"/>
      <c r="N34" s="14"/>
      <c r="O34" s="14"/>
    </row>
    <row r="35" customFormat="false" ht="15" hidden="false" customHeight="false" outlineLevel="0" collapsed="false">
      <c r="A35" s="13" t="str">
        <f aca="false">IF(B35&lt;&gt;"",$B$2,"")</f>
        <v/>
      </c>
      <c r="B35" s="14"/>
      <c r="C35" s="14"/>
      <c r="D35" s="14"/>
      <c r="E35" s="15"/>
      <c r="F35" s="14"/>
      <c r="G35" s="15"/>
      <c r="H35" s="16"/>
      <c r="I35" s="17"/>
      <c r="J35" s="18" t="str">
        <f aca="false">IF(AND(H35&lt;&gt;"",I35&lt;&gt;""),H35*I35,"")</f>
        <v/>
      </c>
      <c r="K35" s="19"/>
      <c r="L35" s="15"/>
      <c r="M35" s="14"/>
      <c r="N35" s="14"/>
      <c r="O35" s="14"/>
    </row>
    <row r="36" customFormat="false" ht="15" hidden="false" customHeight="false" outlineLevel="0" collapsed="false">
      <c r="A36" s="13" t="str">
        <f aca="false">IF(B36&lt;&gt;"",$B$2,"")</f>
        <v/>
      </c>
      <c r="B36" s="14"/>
      <c r="C36" s="14"/>
      <c r="D36" s="14"/>
      <c r="E36" s="15"/>
      <c r="F36" s="14"/>
      <c r="G36" s="15"/>
      <c r="H36" s="16"/>
      <c r="I36" s="17"/>
      <c r="J36" s="18" t="str">
        <f aca="false">IF(AND(H36&lt;&gt;"",I36&lt;&gt;""),H36*I36,"")</f>
        <v/>
      </c>
      <c r="K36" s="19"/>
      <c r="L36" s="15"/>
      <c r="M36" s="14"/>
      <c r="N36" s="14"/>
      <c r="O36" s="14"/>
    </row>
    <row r="37" customFormat="false" ht="15" hidden="false" customHeight="false" outlineLevel="0" collapsed="false">
      <c r="A37" s="13" t="str">
        <f aca="false">IF(B37&lt;&gt;"",$B$2,"")</f>
        <v/>
      </c>
      <c r="B37" s="14"/>
      <c r="C37" s="14"/>
      <c r="D37" s="14"/>
      <c r="E37" s="15"/>
      <c r="F37" s="14"/>
      <c r="G37" s="15"/>
      <c r="H37" s="16"/>
      <c r="I37" s="17"/>
      <c r="J37" s="18" t="str">
        <f aca="false">IF(AND(H37&lt;&gt;"",I37&lt;&gt;""),H37*I37,"")</f>
        <v/>
      </c>
      <c r="K37" s="19"/>
      <c r="L37" s="15"/>
      <c r="M37" s="14"/>
      <c r="N37" s="14"/>
      <c r="O37" s="14"/>
    </row>
    <row r="38" customFormat="false" ht="15" hidden="false" customHeight="false" outlineLevel="0" collapsed="false">
      <c r="A38" s="13" t="str">
        <f aca="false">IF(B38&lt;&gt;"",$B$2,"")</f>
        <v/>
      </c>
      <c r="B38" s="14"/>
      <c r="C38" s="14"/>
      <c r="D38" s="14"/>
      <c r="E38" s="15"/>
      <c r="F38" s="14"/>
      <c r="G38" s="15"/>
      <c r="H38" s="16"/>
      <c r="I38" s="17"/>
      <c r="J38" s="18" t="str">
        <f aca="false">IF(AND(H38&lt;&gt;"",I38&lt;&gt;""),H38*I38,"")</f>
        <v/>
      </c>
      <c r="K38" s="19"/>
      <c r="L38" s="15"/>
      <c r="M38" s="14"/>
      <c r="N38" s="14"/>
      <c r="O38" s="14"/>
    </row>
    <row r="39" customFormat="false" ht="15" hidden="false" customHeight="false" outlineLevel="0" collapsed="false">
      <c r="A39" s="13" t="str">
        <f aca="false">IF(B39&lt;&gt;"",$B$2,"")</f>
        <v/>
      </c>
      <c r="B39" s="14"/>
      <c r="C39" s="14"/>
      <c r="D39" s="14"/>
      <c r="E39" s="15"/>
      <c r="F39" s="14"/>
      <c r="G39" s="15"/>
      <c r="H39" s="16"/>
      <c r="I39" s="17"/>
      <c r="J39" s="18" t="str">
        <f aca="false">IF(AND(H39&lt;&gt;"",I39&lt;&gt;""),H39*I39,"")</f>
        <v/>
      </c>
      <c r="K39" s="19"/>
      <c r="L39" s="15"/>
      <c r="M39" s="14"/>
      <c r="N39" s="14"/>
      <c r="O39" s="14"/>
    </row>
    <row r="40" customFormat="false" ht="15" hidden="false" customHeight="false" outlineLevel="0" collapsed="false">
      <c r="A40" s="13" t="str">
        <f aca="false">IF(B40&lt;&gt;"",$B$2,"")</f>
        <v/>
      </c>
      <c r="B40" s="14"/>
      <c r="C40" s="14"/>
      <c r="D40" s="14"/>
      <c r="E40" s="15"/>
      <c r="F40" s="14"/>
      <c r="G40" s="15"/>
      <c r="H40" s="16"/>
      <c r="I40" s="17"/>
      <c r="J40" s="18" t="str">
        <f aca="false">IF(AND(H40&lt;&gt;"",I40&lt;&gt;""),H40*I40,"")</f>
        <v/>
      </c>
      <c r="K40" s="19"/>
      <c r="L40" s="15"/>
      <c r="M40" s="14"/>
      <c r="N40" s="14"/>
      <c r="O40" s="14"/>
    </row>
    <row r="41" customFormat="false" ht="15" hidden="false" customHeight="false" outlineLevel="0" collapsed="false">
      <c r="A41" s="13" t="str">
        <f aca="false">IF(B41&lt;&gt;"",$B$2,"")</f>
        <v/>
      </c>
      <c r="B41" s="14"/>
      <c r="C41" s="14"/>
      <c r="D41" s="14"/>
      <c r="E41" s="15"/>
      <c r="F41" s="14"/>
      <c r="G41" s="15"/>
      <c r="H41" s="16"/>
      <c r="I41" s="17"/>
      <c r="J41" s="18" t="str">
        <f aca="false">IF(AND(H41&lt;&gt;"",I41&lt;&gt;""),H41*I41,"")</f>
        <v/>
      </c>
      <c r="K41" s="19"/>
      <c r="L41" s="15"/>
      <c r="M41" s="14"/>
      <c r="N41" s="14"/>
      <c r="O41" s="14"/>
    </row>
    <row r="42" customFormat="false" ht="15" hidden="false" customHeight="false" outlineLevel="0" collapsed="false">
      <c r="A42" s="13" t="str">
        <f aca="false">IF(B42&lt;&gt;"",$B$2,"")</f>
        <v/>
      </c>
      <c r="B42" s="14"/>
      <c r="C42" s="14"/>
      <c r="D42" s="14"/>
      <c r="E42" s="15"/>
      <c r="F42" s="14"/>
      <c r="G42" s="15"/>
      <c r="H42" s="16"/>
      <c r="I42" s="17"/>
      <c r="J42" s="18" t="str">
        <f aca="false">IF(AND(H42&lt;&gt;"",I42&lt;&gt;""),H42*I42,"")</f>
        <v/>
      </c>
      <c r="K42" s="19"/>
      <c r="L42" s="15"/>
      <c r="M42" s="14"/>
      <c r="N42" s="14"/>
      <c r="O42" s="14"/>
    </row>
    <row r="43" customFormat="false" ht="15" hidden="false" customHeight="false" outlineLevel="0" collapsed="false">
      <c r="A43" s="13" t="str">
        <f aca="false">IF(B43&lt;&gt;"",$B$2,"")</f>
        <v/>
      </c>
      <c r="B43" s="14"/>
      <c r="C43" s="14"/>
      <c r="D43" s="14"/>
      <c r="E43" s="15"/>
      <c r="F43" s="14"/>
      <c r="G43" s="15"/>
      <c r="H43" s="16"/>
      <c r="I43" s="17"/>
      <c r="J43" s="18" t="str">
        <f aca="false">IF(AND(H43&lt;&gt;"",I43&lt;&gt;""),H43*I43,"")</f>
        <v/>
      </c>
      <c r="K43" s="19"/>
      <c r="L43" s="15"/>
      <c r="M43" s="14"/>
      <c r="N43" s="14"/>
      <c r="O43" s="14"/>
    </row>
    <row r="44" customFormat="false" ht="15" hidden="false" customHeight="false" outlineLevel="0" collapsed="false">
      <c r="A44" s="13" t="str">
        <f aca="false">IF(B44&lt;&gt;"",$B$2,"")</f>
        <v/>
      </c>
      <c r="B44" s="14"/>
      <c r="C44" s="14"/>
      <c r="D44" s="14"/>
      <c r="E44" s="15"/>
      <c r="F44" s="14"/>
      <c r="G44" s="15"/>
      <c r="H44" s="16"/>
      <c r="I44" s="17"/>
      <c r="J44" s="18" t="str">
        <f aca="false">IF(AND(H44&lt;&gt;"",I44&lt;&gt;""),H44*I44,"")</f>
        <v/>
      </c>
      <c r="K44" s="19"/>
      <c r="L44" s="15"/>
      <c r="M44" s="14"/>
      <c r="N44" s="14"/>
      <c r="O44" s="14"/>
    </row>
    <row r="45" customFormat="false" ht="15" hidden="false" customHeight="false" outlineLevel="0" collapsed="false">
      <c r="A45" s="13" t="str">
        <f aca="false">IF(B45&lt;&gt;"",$B$2,"")</f>
        <v/>
      </c>
      <c r="B45" s="14"/>
      <c r="C45" s="14"/>
      <c r="D45" s="14"/>
      <c r="E45" s="15"/>
      <c r="F45" s="14"/>
      <c r="G45" s="15"/>
      <c r="H45" s="16"/>
      <c r="I45" s="17"/>
      <c r="J45" s="18" t="str">
        <f aca="false">IF(AND(H45&lt;&gt;"",I45&lt;&gt;""),H45*I45,"")</f>
        <v/>
      </c>
      <c r="K45" s="19"/>
      <c r="L45" s="15"/>
      <c r="M45" s="14"/>
      <c r="N45" s="14"/>
      <c r="O45" s="14"/>
    </row>
    <row r="46" customFormat="false" ht="15" hidden="false" customHeight="false" outlineLevel="0" collapsed="false">
      <c r="A46" s="13" t="str">
        <f aca="false">IF(B46&lt;&gt;"",$B$2,"")</f>
        <v/>
      </c>
      <c r="B46" s="14"/>
      <c r="C46" s="14"/>
      <c r="D46" s="14"/>
      <c r="E46" s="15"/>
      <c r="F46" s="14"/>
      <c r="G46" s="15"/>
      <c r="H46" s="16"/>
      <c r="I46" s="17"/>
      <c r="J46" s="18" t="str">
        <f aca="false">IF(AND(H46&lt;&gt;"",I46&lt;&gt;""),H46*I46,"")</f>
        <v/>
      </c>
      <c r="K46" s="19"/>
      <c r="L46" s="15"/>
      <c r="M46" s="14"/>
      <c r="N46" s="14"/>
      <c r="O46" s="14"/>
    </row>
    <row r="47" customFormat="false" ht="15" hidden="false" customHeight="false" outlineLevel="0" collapsed="false">
      <c r="H47" s="20"/>
      <c r="I47" s="21"/>
      <c r="J47" s="20"/>
      <c r="K47" s="22"/>
    </row>
    <row r="48" customFormat="false" ht="15" hidden="false" customHeight="false" outlineLevel="0" collapsed="false">
      <c r="A48" s="23" t="s">
        <v>39</v>
      </c>
      <c r="B48" s="24"/>
      <c r="C48" s="24"/>
      <c r="D48" s="24"/>
      <c r="E48" s="24"/>
      <c r="F48" s="24"/>
      <c r="G48" s="24"/>
      <c r="H48" s="25" t="n">
        <f aca="false">SUM(H7:H46)</f>
        <v>430</v>
      </c>
      <c r="I48" s="26"/>
      <c r="J48" s="25" t="n">
        <f aca="false">SUM(J7:J46)</f>
        <v>5340</v>
      </c>
      <c r="K48" s="27" t="n">
        <f aca="false">SUM(K7:K46)</f>
        <v>8750000</v>
      </c>
      <c r="L48" s="24"/>
      <c r="M48" s="24"/>
      <c r="N48" s="24"/>
      <c r="O48" s="24"/>
    </row>
  </sheetData>
  <mergeCells count="4">
    <mergeCell ref="A1:O1"/>
    <mergeCell ref="B2:D2"/>
    <mergeCell ref="A3:O3"/>
    <mergeCell ref="A4:O4"/>
  </mergeCells>
  <dataValidations count="5">
    <dataValidation allowBlank="true" errorStyle="stop" operator="between" showDropDown="false" showErrorMessage="false" showInputMessage="false" sqref="C7:C46" type="list">
      <formula1>"Parafinanciero,Directo"</formula1>
      <formula2>0</formula2>
    </dataValidation>
    <dataValidation allowBlank="true" errorStyle="stop" operator="between" showDropDown="false" showErrorMessage="false" showInputMessage="false" sqref="D7:D46" type="list">
      <formula1>"Financiamiento (habilitación),Cobertura FIRA (sin financiamiento),Financiamiento + Cobertura FIRA,Solo comercialización de grano"</formula1>
      <formula2>0</formula2>
    </dataValidation>
    <dataValidation allowBlank="true" errorStyle="stop" operator="between" showDropDown="false" showErrorMessage="false" showInputMessage="false" sqref="E7:E46" type="list">
      <formula1>"Nuevo,Recurrente"</formula1>
      <formula2>0</formula2>
    </dataValidation>
    <dataValidation allowBlank="true" errorStyle="stop" operator="between" showDropDown="false" showErrorMessage="false" showInputMessage="false" sqref="G7:G46" type="list">
      <formula1>"Maíz blanco,Sorgo,Frijol,Garbanzo,Otro"</formula1>
      <formula2>0</formula2>
    </dataValidation>
    <dataValidation allowBlank="true" errorStyle="stop" operator="between" showDropDown="false" showErrorMessage="false" showInputMessage="false" sqref="M7:M46" type="list">
      <formula1>"Prospecto,En evaluación,Aprobado,Contratado/Habilitado,Sembrado,En desarrollo"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2026-08-17T16:34:38Z</dcterms:created>
  <dc:creator>openpyxl</dc:creator>
  <dc:description/>
  <dc:language>en-US</dc:language>
  <cp:lastModifiedBy/>
  <dcterms:modified xsi:type="dcterms:W3CDTF">2026-08-17T16:34:38Z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